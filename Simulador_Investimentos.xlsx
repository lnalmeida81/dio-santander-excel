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nalm\Downloads\"/>
    </mc:Choice>
  </mc:AlternateContent>
  <xr:revisionPtr revIDLastSave="0" documentId="13_ncr:1_{F6E60718-6D4A-4DFB-8C8D-72DE10B4FC93}" xr6:coauthVersionLast="47" xr6:coauthVersionMax="47" xr10:uidLastSave="{00000000-0000-0000-0000-000000000000}"/>
  <bookViews>
    <workbookView xWindow="-108" yWindow="-108" windowWidth="23256" windowHeight="12456" xr2:uid="{573C97A0-C6C1-4F8B-A8F1-8E5277155D49}"/>
  </bookViews>
  <sheets>
    <sheet name="App" sheetId="1" r:id="rId1"/>
    <sheet name="Carteir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1" l="1"/>
  <c r="C51" i="1" s="1"/>
  <c r="D51" i="1" s="1"/>
  <c r="C37" i="1"/>
  <c r="D37" i="1" s="1"/>
  <c r="C38" i="1"/>
  <c r="D38" i="1" s="1"/>
  <c r="C39" i="1"/>
  <c r="D39" i="1" s="1"/>
  <c r="C40" i="1"/>
  <c r="D40" i="1" s="1"/>
  <c r="C36" i="1"/>
  <c r="D36" i="1" s="1"/>
  <c r="D31" i="1"/>
  <c r="D32" i="1" s="1"/>
  <c r="D25" i="1"/>
  <c r="D24" i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C49" i="1" l="1"/>
  <c r="D49" i="1" s="1"/>
  <c r="C50" i="1"/>
  <c r="D50" i="1" s="1"/>
  <c r="C48" i="1"/>
  <c r="D48" i="1" s="1"/>
  <c r="C47" i="1"/>
  <c r="C52" i="1"/>
  <c r="D52" i="1" s="1"/>
  <c r="C53" i="1" l="1"/>
  <c r="D47" i="1"/>
  <c r="D53" i="1" s="1"/>
</calcChain>
</file>

<file path=xl/sharedStrings.xml><?xml version="1.0" encoding="utf-8"?>
<sst xmlns="http://schemas.openxmlformats.org/spreadsheetml/2006/main" count="88" uniqueCount="49">
  <si>
    <t>Perfil</t>
  </si>
  <si>
    <t>Tipo FII</t>
  </si>
  <si>
    <t>Chave</t>
  </si>
  <si>
    <t>%</t>
  </si>
  <si>
    <t>Conservador</t>
  </si>
  <si>
    <t>Moderado</t>
  </si>
  <si>
    <t>Arrojado</t>
  </si>
  <si>
    <t>Tijolo</t>
  </si>
  <si>
    <t>Papel</t>
  </si>
  <si>
    <t>Fundos de Fundos (FoFs)</t>
  </si>
  <si>
    <t>Híbridos</t>
  </si>
  <si>
    <t>Desenvolvimento</t>
  </si>
  <si>
    <t>Informações Iniciais</t>
  </si>
  <si>
    <t>Salário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</si>
  <si>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</si>
  <si>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</si>
  <si>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</si>
  <si>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</si>
  <si>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</si>
  <si>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</si>
  <si>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</si>
  <si>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Patrimônio Acumulado</t>
  </si>
  <si>
    <t>Dividendos</t>
  </si>
  <si>
    <t>Período</t>
  </si>
  <si>
    <t>Em 2 anos</t>
  </si>
  <si>
    <t>Em 5 anos</t>
  </si>
  <si>
    <t>Em 10 anos</t>
  </si>
  <si>
    <t>Em 20 anos</t>
  </si>
  <si>
    <t>Em 30 anos</t>
  </si>
  <si>
    <t>Perfil de investidor</t>
  </si>
  <si>
    <t>Rendimento</t>
  </si>
  <si>
    <t>Risco</t>
  </si>
  <si>
    <t>0,8% – 1,0%</t>
  </si>
  <si>
    <t>1,0% – 1,2%</t>
  </si>
  <si>
    <t>1,2% – 1,8%</t>
  </si>
  <si>
    <t>Baixo</t>
  </si>
  <si>
    <t>Médio</t>
  </si>
  <si>
    <t>Alto</t>
  </si>
  <si>
    <r>
      <t xml:space="preserve">Sugestão de investimento </t>
    </r>
    <r>
      <rPr>
        <sz val="12"/>
        <color theme="1"/>
        <rFont val="Segoe UI"/>
        <family val="2"/>
      </rPr>
      <t>(% da renda)</t>
    </r>
  </si>
  <si>
    <r>
      <t xml:space="preserve">Rendimento da Carteira </t>
    </r>
    <r>
      <rPr>
        <sz val="12"/>
        <color theme="1"/>
        <rFont val="Segoe UI"/>
        <family val="2"/>
      </rPr>
      <t>(% aproximada)</t>
    </r>
  </si>
  <si>
    <t>Carteira</t>
  </si>
  <si>
    <t>% Sugerido</t>
  </si>
  <si>
    <t>Valor</t>
  </si>
  <si>
    <t>Tipo de FII</t>
  </si>
  <si>
    <t>Fiagros</t>
  </si>
  <si>
    <t>Valor a ser investido por mês:</t>
  </si>
  <si>
    <t>Perfil:</t>
  </si>
  <si>
    <t>TOTAL</t>
  </si>
  <si>
    <r>
      <rPr>
        <b/>
        <sz val="10"/>
        <color theme="1"/>
        <rFont val="Segoe UI"/>
        <family val="2"/>
      </rPr>
      <t>Elaborado por:</t>
    </r>
    <r>
      <rPr>
        <sz val="10"/>
        <color theme="1"/>
        <rFont val="Segoe UI"/>
        <family val="2"/>
      </rPr>
      <t xml:space="preserve"> Leandro Almeida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</si>
</sst>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9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4"/>
      <color theme="0"/>
      <name val="Segoe UI"/>
      <family val="2"/>
    </font>
    <font>
      <b/>
      <sz val="10"/>
      <color theme="1"/>
      <name val="Segoe UI"/>
      <family val="2"/>
    </font>
    <font>
      <sz val="14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4"/>
      </left>
      <right style="hair">
        <color theme="4"/>
      </right>
      <top style="hair">
        <color theme="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8" fillId="2" borderId="0" xfId="2" applyFont="1" applyAlignment="1">
      <alignment vertical="center"/>
    </xf>
    <xf numFmtId="0" fontId="8" fillId="2" borderId="0" xfId="2" applyFont="1" applyAlignment="1">
      <alignment horizontal="center" vertical="center"/>
    </xf>
    <xf numFmtId="0" fontId="5" fillId="0" borderId="1" xfId="0" applyFont="1" applyBorder="1"/>
    <xf numFmtId="9" fontId="5" fillId="0" borderId="1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2" borderId="0" xfId="2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left" indent="2"/>
    </xf>
    <xf numFmtId="16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left" indent="2"/>
    </xf>
    <xf numFmtId="0" fontId="10" fillId="4" borderId="3" xfId="0" applyFont="1" applyFill="1" applyBorder="1" applyAlignment="1">
      <alignment horizontal="left" indent="2"/>
    </xf>
    <xf numFmtId="0" fontId="10" fillId="4" borderId="5" xfId="0" applyFont="1" applyFill="1" applyBorder="1" applyAlignment="1">
      <alignment horizontal="left" indent="2"/>
    </xf>
    <xf numFmtId="9" fontId="7" fillId="0" borderId="4" xfId="1" applyFont="1" applyBorder="1" applyAlignment="1">
      <alignment horizontal="center" vertical="center"/>
    </xf>
    <xf numFmtId="8" fontId="7" fillId="4" borderId="3" xfId="0" applyNumberFormat="1" applyFont="1" applyFill="1" applyBorder="1" applyAlignment="1">
      <alignment horizontal="center" vertical="center"/>
    </xf>
    <xf numFmtId="8" fontId="10" fillId="4" borderId="5" xfId="0" applyNumberFormat="1" applyFont="1" applyFill="1" applyBorder="1" applyAlignment="1">
      <alignment horizontal="center" vertical="center"/>
    </xf>
    <xf numFmtId="0" fontId="2" fillId="0" borderId="0" xfId="0" applyFont="1"/>
    <xf numFmtId="8" fontId="10" fillId="0" borderId="5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right" indent="2"/>
    </xf>
    <xf numFmtId="0" fontId="7" fillId="0" borderId="0" xfId="0" applyFont="1" applyFill="1" applyBorder="1" applyAlignment="1">
      <alignment horizontal="right" indent="2"/>
    </xf>
    <xf numFmtId="0" fontId="6" fillId="3" borderId="0" xfId="3" applyFont="1" applyAlignment="1">
      <alignment horizontal="center" vertical="center" wrapText="1"/>
    </xf>
    <xf numFmtId="0" fontId="6" fillId="3" borderId="0" xfId="3" applyFont="1" applyAlignment="1">
      <alignment horizontal="center" vertical="center"/>
    </xf>
    <xf numFmtId="9" fontId="6" fillId="3" borderId="0" xfId="1" applyFont="1" applyFill="1" applyAlignment="1">
      <alignment horizontal="center" vertical="center" wrapText="1"/>
    </xf>
    <xf numFmtId="169" fontId="6" fillId="3" borderId="0" xfId="3" applyNumberFormat="1" applyFont="1" applyAlignment="1">
      <alignment horizontal="center" vertical="center" wrapText="1"/>
    </xf>
    <xf numFmtId="0" fontId="3" fillId="0" borderId="0" xfId="0" applyFont="1"/>
    <xf numFmtId="0" fontId="10" fillId="0" borderId="2" xfId="0" applyFont="1" applyFill="1" applyBorder="1" applyAlignment="1">
      <alignment horizontal="left" indent="2"/>
    </xf>
    <xf numFmtId="9" fontId="10" fillId="0" borderId="2" xfId="1" applyFont="1" applyBorder="1" applyAlignment="1">
      <alignment horizontal="center" vertical="center"/>
    </xf>
    <xf numFmtId="8" fontId="10" fillId="0" borderId="2" xfId="0" applyNumberFormat="1" applyFont="1" applyFill="1" applyBorder="1" applyAlignment="1">
      <alignment horizontal="center" vertical="center"/>
    </xf>
    <xf numFmtId="169" fontId="7" fillId="4" borderId="3" xfId="0" applyNumberFormat="1" applyFont="1" applyFill="1" applyBorder="1" applyAlignment="1">
      <alignment horizontal="center" vertical="center"/>
    </xf>
  </cellXfs>
  <cellStyles count="4">
    <cellStyle name="40% - Ênfase1" xfId="3" builtinId="31"/>
    <cellStyle name="Ênfase1" xfId="2" builtinId="29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App!$C$46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App!$B$47:$B$52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Híbridos</c:v>
                </c:pt>
                <c:pt idx="3">
                  <c:v>Fundos de Fundos (FoFs)</c:v>
                </c:pt>
                <c:pt idx="4">
                  <c:v>Desenvolvimento</c:v>
                </c:pt>
                <c:pt idx="5">
                  <c:v>Fiagros</c:v>
                </c:pt>
              </c:strCache>
            </c:strRef>
          </c:cat>
          <c:val>
            <c:numRef>
              <c:f>App!$C$47:$C$52</c:f>
              <c:numCache>
                <c:formatCode>0%</c:formatCode>
                <c:ptCount val="6"/>
                <c:pt idx="0">
                  <c:v>0.4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2-498F-BEE9-5E37178D05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045086030912811"/>
          <c:y val="0.23200459317585301"/>
          <c:w val="0.35473432487605711"/>
          <c:h val="0.53599081364829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274320</xdr:colOff>
      <xdr:row>1</xdr:row>
      <xdr:rowOff>15240</xdr:rowOff>
    </xdr:from>
    <xdr:to>
      <xdr:col>3</xdr:col>
      <xdr:colOff>922020</xdr:colOff>
      <xdr:row>17</xdr:row>
      <xdr:rowOff>15240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F483147-0C16-DEAE-F923-E74484322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" y="198120"/>
          <a:ext cx="4389120" cy="292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54</xdr:row>
      <xdr:rowOff>26670</xdr:rowOff>
    </xdr:from>
    <xdr:to>
      <xdr:col>3</xdr:col>
      <xdr:colOff>1402080</xdr:colOff>
      <xdr:row>69</xdr:row>
      <xdr:rowOff>26670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A04B34-69D4-12EC-B08C-C3DE9D792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C467-A6A4-41A6-A211-15710AF7B9DB}">
  <dimension ref="A1:D75"/>
  <sheetViews>
    <sheetView showGridLines="0" tabSelected="1" workbookViewId="0"/>
  </sheetViews>
  <sheetFormatPr defaultColWidth="0" defaultRowHeight="14.4" zeroHeight="1" x14ac:dyDescent="0.3"/>
  <cols>
    <col min="1" max="1" width="10.77734375" customWidth="1"/>
    <col min="2" max="2" width="33.77734375" customWidth="1"/>
    <col min="3" max="4" width="20.77734375" customWidth="1"/>
    <col min="5" max="5" width="10.77734375" customWidth="1"/>
    <col min="6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spans="1:4" x14ac:dyDescent="0.3"/>
    <row r="18" spans="1:4" x14ac:dyDescent="0.3"/>
    <row r="19" spans="1:4" x14ac:dyDescent="0.3"/>
    <row r="20" spans="1:4" ht="30" customHeight="1" x14ac:dyDescent="0.3">
      <c r="B20" s="9" t="s">
        <v>12</v>
      </c>
      <c r="C20" s="9"/>
      <c r="D20" s="9"/>
    </row>
    <row r="21" spans="1:4" ht="20.399999999999999" x14ac:dyDescent="0.45">
      <c r="B21" s="11" t="s">
        <v>13</v>
      </c>
      <c r="C21" s="11"/>
      <c r="D21" s="12">
        <v>5000</v>
      </c>
    </row>
    <row r="22" spans="1:4" ht="20.399999999999999" x14ac:dyDescent="0.45">
      <c r="B22" s="11" t="s">
        <v>29</v>
      </c>
      <c r="C22" s="11"/>
      <c r="D22" s="13" t="s">
        <v>5</v>
      </c>
    </row>
    <row r="23" spans="1:4" ht="20.399999999999999" x14ac:dyDescent="0.45">
      <c r="B23" s="14" t="s">
        <v>38</v>
      </c>
      <c r="C23" s="14"/>
      <c r="D23" s="17">
        <v>0.3</v>
      </c>
    </row>
    <row r="24" spans="1:4" ht="20.399999999999999" x14ac:dyDescent="0.45">
      <c r="B24" s="15" t="s">
        <v>39</v>
      </c>
      <c r="C24" s="15"/>
      <c r="D24" s="32" t="str">
        <f>VLOOKUP(D22,Carteiras!G2:I5,2,FALSE)</f>
        <v>1,0% – 1,2%</v>
      </c>
    </row>
    <row r="25" spans="1:4" ht="20.399999999999999" x14ac:dyDescent="0.45">
      <c r="B25" s="15" t="s">
        <v>31</v>
      </c>
      <c r="C25" s="15"/>
      <c r="D25" s="32" t="str">
        <f>VLOOKUP(D22,Carteiras!G2:I5,3,FALSE)</f>
        <v>Médio</v>
      </c>
    </row>
    <row r="26" spans="1:4" x14ac:dyDescent="0.3"/>
    <row r="27" spans="1:4" s="8" customFormat="1" ht="30" customHeight="1" x14ac:dyDescent="0.3">
      <c r="B27" s="9" t="s">
        <v>14</v>
      </c>
      <c r="C27" s="9"/>
      <c r="D27" s="9"/>
    </row>
    <row r="28" spans="1:4" ht="20.399999999999999" x14ac:dyDescent="0.45">
      <c r="B28" s="11" t="s">
        <v>15</v>
      </c>
      <c r="C28" s="11"/>
      <c r="D28" s="12">
        <v>1000</v>
      </c>
    </row>
    <row r="29" spans="1:4" ht="20.399999999999999" x14ac:dyDescent="0.45">
      <c r="A29" s="20">
        <v>12</v>
      </c>
      <c r="B29" s="11" t="s">
        <v>16</v>
      </c>
      <c r="C29" s="11"/>
      <c r="D29" s="13">
        <v>10</v>
      </c>
    </row>
    <row r="30" spans="1:4" ht="20.399999999999999" x14ac:dyDescent="0.45">
      <c r="B30" s="14" t="s">
        <v>17</v>
      </c>
      <c r="C30" s="14"/>
      <c r="D30" s="17">
        <v>0.01</v>
      </c>
    </row>
    <row r="31" spans="1:4" ht="20.399999999999999" x14ac:dyDescent="0.45">
      <c r="B31" s="15" t="s">
        <v>18</v>
      </c>
      <c r="C31" s="15"/>
      <c r="D31" s="18">
        <f>FV(D30,D29*A29,D28)*-1</f>
        <v>230038.68945736697</v>
      </c>
    </row>
    <row r="32" spans="1:4" ht="20.399999999999999" x14ac:dyDescent="0.45">
      <c r="B32" s="15" t="s">
        <v>19</v>
      </c>
      <c r="C32" s="15"/>
      <c r="D32" s="18">
        <f>D31*D30</f>
        <v>2300.3868945736699</v>
      </c>
    </row>
    <row r="33" spans="1:4" x14ac:dyDescent="0.3"/>
    <row r="34" spans="1:4" ht="30" customHeight="1" x14ac:dyDescent="0.3">
      <c r="B34" s="9" t="s">
        <v>20</v>
      </c>
      <c r="C34" s="9"/>
      <c r="D34" s="9"/>
    </row>
    <row r="35" spans="1:4" ht="34.950000000000003" customHeight="1" x14ac:dyDescent="0.3">
      <c r="B35" s="24" t="s">
        <v>23</v>
      </c>
      <c r="C35" s="24" t="s">
        <v>21</v>
      </c>
      <c r="D35" s="25" t="s">
        <v>22</v>
      </c>
    </row>
    <row r="36" spans="1:4" ht="20.399999999999999" x14ac:dyDescent="0.45">
      <c r="A36" s="20">
        <v>2</v>
      </c>
      <c r="B36" s="16" t="s">
        <v>24</v>
      </c>
      <c r="C36" s="19">
        <f>FV($D$30,A36*$A$29,$D$28)*-1</f>
        <v>26973.464853191497</v>
      </c>
      <c r="D36" s="19">
        <f>C36*$D$30</f>
        <v>269.73464853191496</v>
      </c>
    </row>
    <row r="37" spans="1:4" ht="20.399999999999999" customHeight="1" x14ac:dyDescent="0.45">
      <c r="A37" s="20">
        <v>5</v>
      </c>
      <c r="B37" s="16" t="s">
        <v>25</v>
      </c>
      <c r="C37" s="19">
        <f t="shared" ref="C37:C40" si="0">FV($D$30,A37*$A$29,$D$28)*-1</f>
        <v>81669.669856409135</v>
      </c>
      <c r="D37" s="19">
        <f t="shared" ref="D37:D40" si="1">C37*$D$30</f>
        <v>816.69669856409132</v>
      </c>
    </row>
    <row r="38" spans="1:4" ht="20.399999999999999" x14ac:dyDescent="0.45">
      <c r="A38" s="20">
        <v>10</v>
      </c>
      <c r="B38" s="16" t="s">
        <v>26</v>
      </c>
      <c r="C38" s="19">
        <f t="shared" si="0"/>
        <v>230038.68945736697</v>
      </c>
      <c r="D38" s="19">
        <f t="shared" si="1"/>
        <v>2300.3868945736699</v>
      </c>
    </row>
    <row r="39" spans="1:4" ht="20.399999999999999" x14ac:dyDescent="0.45">
      <c r="A39" s="20">
        <v>20</v>
      </c>
      <c r="B39" s="16" t="s">
        <v>27</v>
      </c>
      <c r="C39" s="19">
        <f t="shared" si="0"/>
        <v>989255.36538736301</v>
      </c>
      <c r="D39" s="19">
        <f t="shared" si="1"/>
        <v>9892.5536538736305</v>
      </c>
    </row>
    <row r="40" spans="1:4" ht="20.399999999999999" x14ac:dyDescent="0.45">
      <c r="A40" s="20">
        <v>30</v>
      </c>
      <c r="B40" s="16" t="s">
        <v>28</v>
      </c>
      <c r="C40" s="19">
        <f t="shared" si="0"/>
        <v>3494964.1327685062</v>
      </c>
      <c r="D40" s="19">
        <f t="shared" si="1"/>
        <v>34949.641327685065</v>
      </c>
    </row>
    <row r="41" spans="1:4" x14ac:dyDescent="0.3"/>
    <row r="42" spans="1:4" ht="20.399999999999999" customHeight="1" x14ac:dyDescent="0.45">
      <c r="B42" s="22" t="s">
        <v>46</v>
      </c>
      <c r="C42" s="23"/>
      <c r="D42" s="21" t="str">
        <f>D22</f>
        <v>Moderado</v>
      </c>
    </row>
    <row r="43" spans="1:4" ht="20.399999999999999" customHeight="1" x14ac:dyDescent="0.45">
      <c r="B43" s="22" t="s">
        <v>45</v>
      </c>
      <c r="C43" s="23"/>
      <c r="D43" s="21">
        <v>1000</v>
      </c>
    </row>
    <row r="44" spans="1:4" x14ac:dyDescent="0.3"/>
    <row r="45" spans="1:4" ht="30" customHeight="1" x14ac:dyDescent="0.3">
      <c r="B45" s="9" t="s">
        <v>40</v>
      </c>
      <c r="C45" s="9"/>
      <c r="D45" s="9"/>
    </row>
    <row r="46" spans="1:4" ht="34.950000000000003" customHeight="1" x14ac:dyDescent="0.3">
      <c r="B46" s="24" t="s">
        <v>43</v>
      </c>
      <c r="C46" s="24" t="s">
        <v>41</v>
      </c>
      <c r="D46" s="25" t="s">
        <v>42</v>
      </c>
    </row>
    <row r="47" spans="1:4" ht="20.399999999999999" x14ac:dyDescent="0.45">
      <c r="B47" s="29" t="s">
        <v>7</v>
      </c>
      <c r="C47" s="30">
        <f>VLOOKUP($D$42&amp;" - "&amp;B47,Carteiras!B2:E20,4,FALSE)</f>
        <v>0.4</v>
      </c>
      <c r="D47" s="31">
        <f>$D$43*C47</f>
        <v>400</v>
      </c>
    </row>
    <row r="48" spans="1:4" ht="20.399999999999999" x14ac:dyDescent="0.45">
      <c r="B48" s="29" t="s">
        <v>8</v>
      </c>
      <c r="C48" s="30">
        <f>VLOOKUP($D$42&amp;" - "&amp;B48,Carteiras!B3:E21,4,FALSE)</f>
        <v>0.2</v>
      </c>
      <c r="D48" s="31">
        <f t="shared" ref="D48:D52" si="2">$D$43*C48</f>
        <v>200</v>
      </c>
    </row>
    <row r="49" spans="2:4" ht="20.399999999999999" x14ac:dyDescent="0.45">
      <c r="B49" s="29" t="s">
        <v>10</v>
      </c>
      <c r="C49" s="30">
        <f>VLOOKUP($D$42&amp;" - "&amp;B49,Carteiras!B4:E22,4,FALSE)</f>
        <v>0.15</v>
      </c>
      <c r="D49" s="31">
        <f t="shared" si="2"/>
        <v>150</v>
      </c>
    </row>
    <row r="50" spans="2:4" ht="20.399999999999999" x14ac:dyDescent="0.45">
      <c r="B50" s="29" t="s">
        <v>9</v>
      </c>
      <c r="C50" s="30">
        <f>VLOOKUP($D$42&amp;" - "&amp;B50,Carteiras!B5:E23,4,FALSE)</f>
        <v>0.15</v>
      </c>
      <c r="D50" s="31">
        <f t="shared" si="2"/>
        <v>150</v>
      </c>
    </row>
    <row r="51" spans="2:4" ht="20.399999999999999" x14ac:dyDescent="0.45">
      <c r="B51" s="29" t="s">
        <v>11</v>
      </c>
      <c r="C51" s="30">
        <f>VLOOKUP($D$42&amp;" - "&amp;B51,Carteiras!B6:E24,4,FALSE)</f>
        <v>0.05</v>
      </c>
      <c r="D51" s="31">
        <f t="shared" si="2"/>
        <v>50</v>
      </c>
    </row>
    <row r="52" spans="2:4" ht="20.399999999999999" x14ac:dyDescent="0.45">
      <c r="B52" s="29" t="s">
        <v>44</v>
      </c>
      <c r="C52" s="30">
        <f>VLOOKUP($D$42&amp;" - "&amp;B52,Carteiras!B7:E25,4,FALSE)</f>
        <v>0.05</v>
      </c>
      <c r="D52" s="31">
        <f t="shared" si="2"/>
        <v>50</v>
      </c>
    </row>
    <row r="53" spans="2:4" ht="19.2" x14ac:dyDescent="0.3">
      <c r="B53" s="24" t="s">
        <v>47</v>
      </c>
      <c r="C53" s="26">
        <f>SUM(C47:C52)</f>
        <v>1.0000000000000002</v>
      </c>
      <c r="D53" s="27">
        <f>SUM(D47:D52)</f>
        <v>1000</v>
      </c>
    </row>
    <row r="54" spans="2:4" x14ac:dyDescent="0.3"/>
    <row r="55" spans="2:4" x14ac:dyDescent="0.3"/>
    <row r="56" spans="2:4" x14ac:dyDescent="0.3"/>
    <row r="57" spans="2:4" x14ac:dyDescent="0.3"/>
    <row r="58" spans="2:4" x14ac:dyDescent="0.3"/>
    <row r="59" spans="2:4" x14ac:dyDescent="0.3"/>
    <row r="60" spans="2:4" x14ac:dyDescent="0.3"/>
    <row r="61" spans="2:4" x14ac:dyDescent="0.3"/>
    <row r="62" spans="2:4" x14ac:dyDescent="0.3"/>
    <row r="63" spans="2:4" x14ac:dyDescent="0.3"/>
    <row r="64" spans="2:4" x14ac:dyDescent="0.3"/>
    <row r="65" spans="3:4" x14ac:dyDescent="0.3"/>
    <row r="66" spans="3:4" x14ac:dyDescent="0.3"/>
    <row r="67" spans="3:4" x14ac:dyDescent="0.3"/>
    <row r="68" spans="3:4" x14ac:dyDescent="0.3"/>
    <row r="69" spans="3:4" x14ac:dyDescent="0.3"/>
    <row r="70" spans="3:4" x14ac:dyDescent="0.3"/>
    <row r="71" spans="3:4" x14ac:dyDescent="0.3"/>
    <row r="72" spans="3:4" x14ac:dyDescent="0.3"/>
    <row r="73" spans="3:4" ht="16.8" x14ac:dyDescent="0.4">
      <c r="C73" s="1"/>
    </row>
    <row r="74" spans="3:4" ht="15" x14ac:dyDescent="0.35">
      <c r="D74" s="28" t="s">
        <v>48</v>
      </c>
    </row>
    <row r="75" spans="3:4" x14ac:dyDescent="0.3"/>
  </sheetData>
  <mergeCells count="16">
    <mergeCell ref="B30:C30"/>
    <mergeCell ref="B31:C31"/>
    <mergeCell ref="B32:C32"/>
    <mergeCell ref="B45:D45"/>
    <mergeCell ref="B42:C42"/>
    <mergeCell ref="B43:C43"/>
    <mergeCell ref="B34:D34"/>
    <mergeCell ref="B20:D20"/>
    <mergeCell ref="B27:D27"/>
    <mergeCell ref="B21:C21"/>
    <mergeCell ref="B22:C22"/>
    <mergeCell ref="B23:C23"/>
    <mergeCell ref="B24:C24"/>
    <mergeCell ref="B25:C25"/>
    <mergeCell ref="B28:C28"/>
    <mergeCell ref="B29:C29"/>
  </mergeCells>
  <dataValidations count="2">
    <dataValidation type="list" allowBlank="1" showInputMessage="1" showErrorMessage="1" sqref="D22" xr:uid="{D314CB7F-CC6C-4D93-B209-CB1B44A214B7}">
      <formula1>"Conservador,Moderado,Arrojado"</formula1>
    </dataValidation>
    <dataValidation type="list" allowBlank="1" showInputMessage="1" showErrorMessage="1" sqref="D23" xr:uid="{82935F30-DADA-4304-A095-CBAC11C3C742}">
      <formula1>"10%,20%,30%"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E38F-6A2A-4AFC-96DC-50AC0D2D78D0}">
  <dimension ref="B2:I20"/>
  <sheetViews>
    <sheetView workbookViewId="0"/>
  </sheetViews>
  <sheetFormatPr defaultRowHeight="19.2" x14ac:dyDescent="0.45"/>
  <cols>
    <col min="1" max="1" width="8.88671875" style="2"/>
    <col min="2" max="2" width="50.77734375" style="2" customWidth="1"/>
    <col min="3" max="3" width="20.77734375" style="2" customWidth="1"/>
    <col min="4" max="4" width="35.77734375" style="2" customWidth="1"/>
    <col min="5" max="5" width="10.77734375" style="3" customWidth="1"/>
    <col min="6" max="6" width="8.88671875" style="2"/>
    <col min="7" max="8" width="20.77734375" style="2" customWidth="1"/>
    <col min="9" max="9" width="10.77734375" style="2" customWidth="1"/>
    <col min="10" max="16384" width="8.88671875" style="2"/>
  </cols>
  <sheetData>
    <row r="2" spans="2:9" ht="20.399999999999999" x14ac:dyDescent="0.45">
      <c r="B2" s="4" t="s">
        <v>2</v>
      </c>
      <c r="C2" s="4" t="s">
        <v>0</v>
      </c>
      <c r="D2" s="4" t="s">
        <v>1</v>
      </c>
      <c r="E2" s="5" t="s">
        <v>3</v>
      </c>
      <c r="G2" s="4" t="s">
        <v>0</v>
      </c>
      <c r="H2" s="5" t="s">
        <v>30</v>
      </c>
      <c r="I2" s="5" t="s">
        <v>31</v>
      </c>
    </row>
    <row r="3" spans="2:9" x14ac:dyDescent="0.45">
      <c r="B3" s="6" t="str">
        <f>C3&amp;" - "&amp;D3</f>
        <v>Conservador - Tijolo</v>
      </c>
      <c r="C3" s="6" t="s">
        <v>4</v>
      </c>
      <c r="D3" s="6" t="s">
        <v>7</v>
      </c>
      <c r="E3" s="7">
        <v>0.6</v>
      </c>
      <c r="G3" s="6" t="s">
        <v>4</v>
      </c>
      <c r="H3" s="10" t="s">
        <v>32</v>
      </c>
      <c r="I3" s="10" t="s">
        <v>35</v>
      </c>
    </row>
    <row r="4" spans="2:9" x14ac:dyDescent="0.45">
      <c r="B4" s="6" t="str">
        <f t="shared" ref="B4:B20" si="0">C4&amp;" - "&amp;D4</f>
        <v>Conservador - Papel</v>
      </c>
      <c r="C4" s="6" t="s">
        <v>4</v>
      </c>
      <c r="D4" s="6" t="s">
        <v>8</v>
      </c>
      <c r="E4" s="7">
        <v>0.25</v>
      </c>
      <c r="G4" s="6" t="s">
        <v>5</v>
      </c>
      <c r="H4" s="10" t="s">
        <v>33</v>
      </c>
      <c r="I4" s="10" t="s">
        <v>36</v>
      </c>
    </row>
    <row r="5" spans="2:9" x14ac:dyDescent="0.45">
      <c r="B5" s="6" t="str">
        <f t="shared" si="0"/>
        <v>Conservador - Híbridos</v>
      </c>
      <c r="C5" s="6" t="s">
        <v>4</v>
      </c>
      <c r="D5" s="6" t="s">
        <v>10</v>
      </c>
      <c r="E5" s="7">
        <v>0.15</v>
      </c>
      <c r="G5" s="6" t="s">
        <v>6</v>
      </c>
      <c r="H5" s="10" t="s">
        <v>34</v>
      </c>
      <c r="I5" s="10" t="s">
        <v>37</v>
      </c>
    </row>
    <row r="6" spans="2:9" x14ac:dyDescent="0.45">
      <c r="B6" s="6" t="str">
        <f t="shared" si="0"/>
        <v>Conservador - Fundos de Fundos (FoFs)</v>
      </c>
      <c r="C6" s="6" t="s">
        <v>4</v>
      </c>
      <c r="D6" s="6" t="s">
        <v>9</v>
      </c>
      <c r="E6" s="7">
        <v>0</v>
      </c>
    </row>
    <row r="7" spans="2:9" x14ac:dyDescent="0.45">
      <c r="B7" s="6" t="str">
        <f t="shared" si="0"/>
        <v>Conservador - Desenvolvimento</v>
      </c>
      <c r="C7" s="6" t="s">
        <v>4</v>
      </c>
      <c r="D7" s="6" t="s">
        <v>11</v>
      </c>
      <c r="E7" s="7">
        <v>0</v>
      </c>
    </row>
    <row r="8" spans="2:9" x14ac:dyDescent="0.45">
      <c r="B8" s="6" t="str">
        <f t="shared" si="0"/>
        <v>Conservador - Fiagros</v>
      </c>
      <c r="C8" s="6" t="s">
        <v>4</v>
      </c>
      <c r="D8" s="6" t="s">
        <v>44</v>
      </c>
      <c r="E8" s="7">
        <v>0</v>
      </c>
    </row>
    <row r="9" spans="2:9" x14ac:dyDescent="0.45">
      <c r="B9" s="6" t="str">
        <f t="shared" si="0"/>
        <v>Moderado - Tijolo</v>
      </c>
      <c r="C9" s="6" t="s">
        <v>5</v>
      </c>
      <c r="D9" s="6" t="s">
        <v>7</v>
      </c>
      <c r="E9" s="7">
        <v>0.4</v>
      </c>
    </row>
    <row r="10" spans="2:9" x14ac:dyDescent="0.45">
      <c r="B10" s="6" t="str">
        <f t="shared" si="0"/>
        <v>Moderado - Papel</v>
      </c>
      <c r="C10" s="6" t="s">
        <v>5</v>
      </c>
      <c r="D10" s="6" t="s">
        <v>8</v>
      </c>
      <c r="E10" s="7">
        <v>0.2</v>
      </c>
    </row>
    <row r="11" spans="2:9" x14ac:dyDescent="0.45">
      <c r="B11" s="6" t="str">
        <f t="shared" si="0"/>
        <v>Moderado - Híbridos</v>
      </c>
      <c r="C11" s="6" t="s">
        <v>5</v>
      </c>
      <c r="D11" s="6" t="s">
        <v>10</v>
      </c>
      <c r="E11" s="7">
        <v>0.15</v>
      </c>
    </row>
    <row r="12" spans="2:9" x14ac:dyDescent="0.45">
      <c r="B12" s="6" t="str">
        <f t="shared" si="0"/>
        <v>Moderado - Fundos de Fundos (FoFs)</v>
      </c>
      <c r="C12" s="6" t="s">
        <v>5</v>
      </c>
      <c r="D12" s="6" t="s">
        <v>9</v>
      </c>
      <c r="E12" s="7">
        <v>0.15</v>
      </c>
    </row>
    <row r="13" spans="2:9" x14ac:dyDescent="0.45">
      <c r="B13" s="6" t="str">
        <f t="shared" si="0"/>
        <v>Moderado - Desenvolvimento</v>
      </c>
      <c r="C13" s="6" t="s">
        <v>5</v>
      </c>
      <c r="D13" s="6" t="s">
        <v>11</v>
      </c>
      <c r="E13" s="7">
        <v>0.05</v>
      </c>
    </row>
    <row r="14" spans="2:9" x14ac:dyDescent="0.45">
      <c r="B14" s="6" t="str">
        <f t="shared" si="0"/>
        <v>Moderado - Fiagros</v>
      </c>
      <c r="C14" s="6" t="s">
        <v>5</v>
      </c>
      <c r="D14" s="6" t="s">
        <v>44</v>
      </c>
      <c r="E14" s="7">
        <v>0.05</v>
      </c>
    </row>
    <row r="15" spans="2:9" x14ac:dyDescent="0.45">
      <c r="B15" s="6" t="str">
        <f t="shared" si="0"/>
        <v>Arrojado - Tijolo</v>
      </c>
      <c r="C15" s="6" t="s">
        <v>6</v>
      </c>
      <c r="D15" s="6" t="s">
        <v>7</v>
      </c>
      <c r="E15" s="7">
        <v>0.2</v>
      </c>
    </row>
    <row r="16" spans="2:9" x14ac:dyDescent="0.45">
      <c r="B16" s="6" t="str">
        <f t="shared" si="0"/>
        <v>Arrojado - Papel</v>
      </c>
      <c r="C16" s="6" t="s">
        <v>6</v>
      </c>
      <c r="D16" s="6" t="s">
        <v>8</v>
      </c>
      <c r="E16" s="7">
        <v>0.25</v>
      </c>
    </row>
    <row r="17" spans="2:5" x14ac:dyDescent="0.45">
      <c r="B17" s="6" t="str">
        <f t="shared" si="0"/>
        <v>Arrojado - Híbridos</v>
      </c>
      <c r="C17" s="6" t="s">
        <v>6</v>
      </c>
      <c r="D17" s="6" t="s">
        <v>10</v>
      </c>
      <c r="E17" s="7">
        <v>0.2</v>
      </c>
    </row>
    <row r="18" spans="2:5" x14ac:dyDescent="0.45">
      <c r="B18" s="6" t="str">
        <f t="shared" si="0"/>
        <v>Arrojado - Fundos de Fundos (FoFs)</v>
      </c>
      <c r="C18" s="6" t="s">
        <v>6</v>
      </c>
      <c r="D18" s="6" t="s">
        <v>9</v>
      </c>
      <c r="E18" s="7">
        <v>0.1</v>
      </c>
    </row>
    <row r="19" spans="2:5" x14ac:dyDescent="0.45">
      <c r="B19" s="6" t="str">
        <f t="shared" si="0"/>
        <v>Arrojado - Desenvolvimento</v>
      </c>
      <c r="C19" s="6" t="s">
        <v>6</v>
      </c>
      <c r="D19" s="6" t="s">
        <v>11</v>
      </c>
      <c r="E19" s="7">
        <v>0.15</v>
      </c>
    </row>
    <row r="20" spans="2:5" x14ac:dyDescent="0.45">
      <c r="B20" s="6" t="str">
        <f t="shared" si="0"/>
        <v>Arrojado - Fiagros</v>
      </c>
      <c r="C20" s="6" t="s">
        <v>6</v>
      </c>
      <c r="D20" s="6" t="s">
        <v>44</v>
      </c>
      <c r="E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App</vt:lpstr>
      <vt:lpstr>Carteiras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Narciso de Almeida</dc:creator>
  <cp:lastModifiedBy>Leandro Narciso de Almeida</cp:lastModifiedBy>
  <dcterms:created xsi:type="dcterms:W3CDTF">2026-02-14T18:06:55Z</dcterms:created>
  <dcterms:modified xsi:type="dcterms:W3CDTF">2026-02-14T20:53:27Z</dcterms:modified>
</cp:coreProperties>
</file>